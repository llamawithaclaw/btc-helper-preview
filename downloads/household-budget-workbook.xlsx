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0"/>
  </bookViews>
  <sheets>
    <sheet name="Start here" sheetId="1" r:id="rId1"/>
    <sheet name="Inputs" sheetId="2" r:id="rId2"/>
    <sheet name="Calculations" sheetId="3" r:id="rId3"/>
    <sheet name="Guidance" sheetId="4" r:id="rId4"/>
    <sheet name="Definitions" sheetId="5" r:id="rId5"/>
  </sheets>
  <definedNames>
    <definedName name="AnyInvalid">Calculations!$B$16</definedName>
    <definedName name="BudgetComplete">Calculations!$B$33</definedName>
    <definedName name="BufferKnown">Calculations!$B$26</definedName>
    <definedName name="BufferMonths">Calculations!$B$27</definedName>
    <definedName name="BufferNote">Calculations!$B$28</definedName>
    <definedName name="Cash_Blank">Calculations!$E$9</definedName>
    <definedName name="Cash_Count">Calculations!$C$9</definedName>
    <definedName name="Cash_Invalid">Calculations!$H$9</definedName>
    <definedName name="Cash_Lines">Inputs!$B$37:$B$39</definedName>
    <definedName name="Cash_Negative">Calculations!$F$9</definedName>
    <definedName name="Cash_NonNumeric">Calculations!$G$9</definedName>
    <definedName name="Cash_Numbers">Calculations!$D$9</definedName>
    <definedName name="Cash_State">Calculations!$I$9</definedName>
    <definedName name="Cash_Total">Calculations!$J$9</definedName>
    <definedName name="CashKnown">Calculations!$B$23</definedName>
    <definedName name="CashPart">Calculations!$B$37</definedName>
    <definedName name="DebtMin_Blank">Calculations!$E$7</definedName>
    <definedName name="DebtMin_Count">Calculations!$C$7</definedName>
    <definedName name="DebtMin_Invalid">Calculations!$H$7</definedName>
    <definedName name="DebtMin_Lines">Inputs!$B$23:$B$26</definedName>
    <definedName name="DebtMin_Negative">Calculations!$F$7</definedName>
    <definedName name="DebtMin_NonNumeric">Calculations!$G$7</definedName>
    <definedName name="DebtMin_Numbers">Calculations!$D$7</definedName>
    <definedName name="DebtMin_State">Calculations!$I$7</definedName>
    <definedName name="DebtMin_Total">Calculations!$J$7</definedName>
    <definedName name="DefinitelyNegative">Calculations!$B$31</definedName>
    <definedName name="Earmarked_Blank">Calculations!$E$10</definedName>
    <definedName name="Earmarked_Count">Calculations!$C$10</definedName>
    <definedName name="Earmarked_Invalid">Calculations!$H$10</definedName>
    <definedName name="Earmarked_Lines">Inputs!$B$43:$B$45</definedName>
    <definedName name="Earmarked_Negative">Calculations!$F$10</definedName>
    <definedName name="Earmarked_NonNumeric">Calculations!$G$10</definedName>
    <definedName name="Earmarked_Numbers">Calculations!$D$10</definedName>
    <definedName name="Earmarked_State">Calculations!$I$10</definedName>
    <definedName name="Earmarked_Total">Calculations!$J$10</definedName>
    <definedName name="EarmarkShortfall">Calculations!$B$25</definedName>
    <definedName name="EmergencyCash">Calculations!$B$24</definedName>
    <definedName name="Essentials_Blank">Calculations!$E$6</definedName>
    <definedName name="Essentials_Count">Calculations!$C$6</definedName>
    <definedName name="Essentials_Invalid">Calculations!$H$6</definedName>
    <definedName name="Essentials_Lines">Inputs!$B$13:$B$19</definedName>
    <definedName name="Essentials_Negative">Calculations!$F$6</definedName>
    <definedName name="Essentials_NonNumeric">Calculations!$G$6</definedName>
    <definedName name="Essentials_Numbers">Calculations!$D$6</definedName>
    <definedName name="Essentials_State">Calculations!$I$6</definedName>
    <definedName name="Essentials_Total">Calculations!$J$6</definedName>
    <definedName name="FlexBlank">Calculations!$B$39</definedName>
    <definedName name="Flexible_Blank">Calculations!$E$8</definedName>
    <definedName name="Flexible_Count">Calculations!$C$8</definedName>
    <definedName name="Flexible_Invalid">Calculations!$H$8</definedName>
    <definedName name="Flexible_Lines">Inputs!$B$30:$B$33</definedName>
    <definedName name="Flexible_Negative">Calculations!$F$8</definedName>
    <definedName name="Flexible_NonNumeric">Calculations!$G$8</definedName>
    <definedName name="Flexible_Numbers">Calculations!$D$8</definedName>
    <definedName name="Flexible_State">Calculations!$I$8</definedName>
    <definedName name="Flexible_Total">Calculations!$J$8</definedName>
    <definedName name="FloorValue">Calculations!$B$29</definedName>
    <definedName name="Income_Blank">Calculations!$E$5</definedName>
    <definedName name="Income_Count">Calculations!$C$5</definedName>
    <definedName name="Income_Invalid">Calculations!$H$5</definedName>
    <definedName name="Income_Lines">Inputs!$B$6:$B$9</definedName>
    <definedName name="Income_Negative">Calculations!$F$5</definedName>
    <definedName name="Income_NonNumeric">Calculations!$G$5</definedName>
    <definedName name="Income_Numbers">Calculations!$D$5</definedName>
    <definedName name="Income_State">Calculations!$I$5</definedName>
    <definedName name="Income_Total">Calculations!$J$5</definedName>
    <definedName name="InvestAllowed">Calculations!$B$34</definedName>
    <definedName name="InvestText">Calculations!$B$35</definedName>
    <definedName name="MonthlyNeed">Calculations!$B$18</definedName>
    <definedName name="MonthlyRoom">Calculations!$B$22</definedName>
    <definedName name="MonthsToTarget">Calculations!$B$36</definedName>
    <definedName name="NeedKnown">Calculations!$B$17</definedName>
    <definedName name="RBFKnown">Calculations!$B$19</definedName>
    <definedName name="RoomBeforeFlexible">Calculations!$B$20</definedName>
    <definedName name="RoomKnown">Calculations!$B$21</definedName>
    <definedName name="RoomPart">Calculations!$B$38</definedName>
    <definedName name="Shortfall">Calculations!$B$40</definedName>
    <definedName name="ShortfallKnown">Calculations!$B$41</definedName>
    <definedName name="Status">Calculations!$B$32</definedName>
    <definedName name="TargetMonths">Calculations!$B$14</definedName>
    <definedName name="TargetMonths_Input">Inputs!$B$49</definedName>
    <definedName name="TargetValue">Calculations!$B$30</definedName>
    <definedName name="TM_Blank">Calculations!$B$13</definedName>
    <definedName name="TM_Valid">Calculations!$B$15</definedName>
    <definedName name="Txt_CashLine">Calculations!$B$49</definedName>
    <definedName name="Txt_CashText">Calculations!$B$45</definedName>
    <definedName name="Txt_EarmarkWarning">Calculations!$B$58</definedName>
    <definedName name="Txt_FloorCash">Calculations!$B$47</definedName>
    <definedName name="Txt_FloorRoom">Calculations!$B$48</definedName>
    <definedName name="Txt_Gap">Calculations!$B$42</definedName>
    <definedName name="Txt_Investing">Calculations!$B$55</definedName>
    <definedName name="Txt_InvestingNote">Calculations!$B$54</definedName>
    <definedName name="Txt_MonthsToTarget">Calculations!$B$57</definedName>
    <definedName name="Txt_NextStep">Calculations!$B$53</definedName>
    <definedName name="Txt_RoomLine">Calculations!$B$56</definedName>
    <definedName name="Txt_RoomLineCheck">Calculations!$B$50</definedName>
    <definedName name="Txt_RoomUnknown">Calculations!$B$46</definedName>
    <definedName name="Txt_Shortfall">Calculations!$B$44</definedName>
    <definedName name="Txt_ShortfallTail">Calculations!$B$43</definedName>
    <definedName name="Txt_Summary">Calculations!$B$52</definedName>
    <definedName name="Txt_Title">Calculations!$B$51</definedName>
  </definedNames>
  <calcPr calcId="191029" fullCalcOnLoad="1"/>
</workbook>
</file>

<file path=xl/styles.xml><?xml version="1.0" encoding="utf-8"?>
<styleSheet xmlns="http://schemas.openxmlformats.org/spreadsheetml/2006/main">
  <numFmts count="2">
    <numFmt numFmtId="164" formatCode="&quot;$&quot;#,##0.00"/>
    <numFmt numFmtId="165" formatCode="0.00"/>
  </numFmts>
  <fonts count="4">
    <font>
      <sz val="11"/>
      <name val="Calibri"/>
      <family val="2"/>
    </font>
    <font>
      <b/>
      <sz val="11"/>
      <name val="Calibri"/>
      <family val="2"/>
    </font>
    <font>
      <b/>
      <sz val="14"/>
      <name val="Calibri"/>
      <family val="2"/>
    </font>
    <font>
      <i/>
      <sz val="10"/>
      <color rgb="FF555555"/>
      <name val="Calibri"/>
      <family val="2"/>
    </font>
  </fonts>
  <fills count="4">
    <fill>
      <patternFill patternType="none"/>
    </fill>
    <fill>
      <patternFill patternType="gray125"/>
    </fill>
    <fill>
      <patternFill patternType="solid">
        <fgColor rgb="FFFFF2CC"/>
        <bgColor indexed="64"/>
      </patternFill>
    </fill>
    <fill>
      <patternFill patternType="solid">
        <fgColor rgb="FFE7E6E6"/>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
    <xf numFmtId="0" fontId="0" fillId="0" borderId="0" xfId="0" applyAlignment="1">
      <alignment vertical="top"/>
    </xf>
    <xf numFmtId="0" fontId="2" fillId="0" borderId="0" xfId="0" applyFont="1"/>
    <xf numFmtId="0" fontId="1" fillId="0" borderId="0" xfId="0" applyFont="1" applyAlignment="1">
      <alignment vertical="top"/>
    </xf>
    <xf numFmtId="0" fontId="0" fillId="0" borderId="0" xfId="0" applyAlignment="1">
      <alignment wrapText="1" vertical="top"/>
    </xf>
    <xf numFmtId="164" fontId="0" fillId="2" borderId="1" xfId="0" applyNumberFormat="1" applyFill="1" applyBorder="1" applyProtection="1">
      <protection locked="0"/>
    </xf>
    <xf numFmtId="0" fontId="0" fillId="2" borderId="1" xfId="0" applyFill="1" applyBorder="1" applyProtection="1">
      <protection locked="0"/>
    </xf>
    <xf numFmtId="164" fontId="0" fillId="0" borderId="0" xfId="0" applyNumberFormat="1"/>
    <xf numFmtId="165" fontId="0" fillId="0" borderId="0" xfId="0" applyNumberFormat="1"/>
    <xf numFmtId="0" fontId="1" fillId="3" borderId="0" xfId="0" applyFont="1" applyFill="1" applyAlignment="1">
      <alignment wrapText="1" vertical="top"/>
    </xf>
    <xf numFmtId="0" fontId="3" fillId="0" borderId="0" xfId="0" applyFont="1" applyAlignment="1">
      <alignment wrapText="1" vertical="top"/>
    </xf>
    <xf numFmtId="0" fontId="1" fillId="0" borderId="0" xfId="0" applyFont="1" applyAlignment="1">
      <alignment wrapText="1" vertical="top"/>
    </xf>
    <xf numFmtId="0" fontId="0" fillId="2" borderId="1" xfId="0" applyFill="1" applyBorder="1" applyProtection="1">
      <protection locked="0"/>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eetViews>
  <sheetFormatPr defaultRowHeight="15"/>
  <cols>
    <col min="1" max="1" width="110" customWidth="1"/>
  </cols>
  <sheetData>
    <row r="1">
      <c r="A1" s="1" t="inlineStr">
        <is>
          <t xml:space="preserve">Household budget workbook</t>
        </is>
      </c>
    </row>
    <row r="2">
      <c r="A2" s="3" t="inlineStr">
        <is>
          <t xml:space="preserve">A private household budgeting workbook: budget, essential obligations, reserves (emergency cash) and monthly surplus or shortfall. It is useful whether or not you hold or plan to buy Bitcoin.</t>
        </is>
      </c>
    </row>
    <row r="4">
      <c r="A4" s="2" t="inlineStr">
        <is>
          <t xml:space="preserve">Not advice</t>
        </is>
      </c>
    </row>
    <row r="5">
      <c r="A5" s="3" t="inlineStr">
        <is>
          <t xml:space="preserve">This workbook is a planning aid, not financial, tax or investment advice. It applies one fixed set of stated assumptions (see Definitions) to the numbers you enter, and it says nothing beyond them.</t>
        </is>
      </c>
    </row>
    <row r="7">
      <c r="A7" s="2" t="inlineStr">
        <is>
          <t xml:space="preserve">Privacy</t>
        </is>
      </c>
    </row>
    <row r="8">
      <c r="A8" s="3" t="inlineStr">
        <is>
          <t xml:space="preserve">Your numbers stay in this file. The workbook has no macros, no external links, no data connections, no web queries and no hyperlinks, and it sends nothing anywhere. It contains no real household data.</t>
        </is>
      </c>
    </row>
    <row r="9">
      <c r="A9" s="3" t="inlineStr">
        <is>
          <t xml:space="preserve">If you open or upload it in an online spreadsheet service, the file and your numbers are stored by that service. Keep the file on your own device if that matters to you.</t>
        </is>
      </c>
    </row>
    <row r="11">
      <c r="A11" s="2" t="inlineStr">
        <is>
          <t xml:space="preserve">How to use</t>
        </is>
      </c>
    </row>
    <row r="12">
      <c r="A12" s="3" t="inlineStr">
        <is>
          <t xml:space="preserve">1. Go to the Inputs sheet. Enter monthly amounts in the yellow cells, using whole numbers or decimals (no text).</t>
        </is>
      </c>
    </row>
    <row r="13">
      <c r="A13" s="3" t="inlineStr">
        <is>
          <t xml:space="preserve">2. Blank means unknown, never zero. Enter 0 for any line that does not apply to you. A group's total is known only when every line in it has a number.</t>
        </is>
      </c>
    </row>
    <row r="14">
      <c r="A14" s="3" t="inlineStr">
        <is>
          <t xml:space="preserve">3. Choose your buffer target: 1, 3 or 6 months (default 3).</t>
        </is>
      </c>
    </row>
    <row r="15">
      <c r="A15" s="3" t="inlineStr">
        <is>
          <t xml:space="preserve">4. Read the Guidance sheet. It names what is missing or not valid, and shows the safety floor check in two parts: cash and monthly room.</t>
        </is>
      </c>
    </row>
    <row r="16">
      <c r="A16" s="3" t="inlineStr">
        <is>
          <t xml:space="preserve">5. The Calculations sheet shows every formula step. It is protected (no password) to prevent accidental edits.</t>
        </is>
      </c>
    </row>
    <row r="18">
      <c r="A18" s="2" t="inlineStr">
        <is>
          <t xml:space="preserve">Calculation contract</t>
        </is>
      </c>
    </row>
    <row r="19">
      <c r="A19" s="3" t="inlineStr">
        <is>
          <t xml:space="preserve">The calculations and wording reproduce the accepted Household Planner (planner.js, sha256 a43506b5755cd94aea24c63f90999b1987351996eb86741aeb0f8ad542ff9ba0), assumption bundle household-assumptions/0.1-prototype. This workbook adds no thresholds, rules or advice of its own.</t>
        </is>
      </c>
    </row>
    <row r="20">
      <c r="A20" s="3" t="inlineStr">
        <is>
          <t xml:space="preserve">Entries that are text or negative are not valid. While any entry is not valid the workbook shows no result, as the planner does.</t>
        </is>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46" customWidth="1"/>
    <col min="2" max="2" width="18" customWidth="1"/>
    <col min="3" max="3" width="60" customWidth="1"/>
  </cols>
  <sheetData>
    <row r="1">
      <c r="A1" s="1" t="inlineStr">
        <is>
          <t xml:space="preserve">Inputs</t>
        </is>
      </c>
    </row>
    <row r="2">
      <c r="A2" s="9" t="inlineStr">
        <is>
          <t xml:space="preserve">Monthly amounts in your currency. Blank means unknown, never zero: enter 0 for lines that do not apply.</t>
        </is>
      </c>
    </row>
    <row r="3">
      <c r="A3" s="8" t="inlineStr">
        <is>
          <t xml:space="preserve">Item</t>
        </is>
      </c>
      <c r="B3" s="8" t="inlineStr">
        <is>
          <t xml:space="preserve">Amount</t>
        </is>
      </c>
      <c r="C3" s="8" t="inlineStr">
        <is>
          <t xml:space="preserve">Check</t>
        </is>
      </c>
    </row>
    <row r="5">
      <c r="A5" s="2" t="inlineStr">
        <is>
          <t xml:space="preserve">1. Monthly take-home income</t>
        </is>
      </c>
    </row>
    <row r="6">
      <c r="A6" t="inlineStr">
        <is>
          <t xml:space="preserve">Main take-home pay (after tax)</t>
        </is>
      </c>
      <c r="B6" s="4"/>
      <c r="C6" s="9" t="str">
        <f>IF(COUNTBLANK(B6)=1,"Blank: unknown (enter 0 if it does not apply)",IF(ISNUMBER(B6),IF(B6&lt;0,"Enter zero or a positive amount.",""),"Enter a number, or leave blank if unknown."))</f>
      </c>
    </row>
    <row r="7">
      <c r="A7" t="inlineStr">
        <is>
          <t xml:space="preserve">Second take-home pay (after tax)</t>
        </is>
      </c>
      <c r="B7" s="4"/>
      <c r="C7" s="9" t="str">
        <f>IF(COUNTBLANK(B7)=1,"Blank: unknown (enter 0 if it does not apply)",IF(ISNUMBER(B7),IF(B7&lt;0,"Enter zero or a positive amount.",""),"Enter a number, or leave blank if unknown."))</f>
      </c>
    </row>
    <row r="8">
      <c r="A8" t="inlineStr">
        <is>
          <t xml:space="preserve">Benefits or support payments</t>
        </is>
      </c>
      <c r="B8" s="4"/>
      <c r="C8" s="9" t="str">
        <f>IF(COUNTBLANK(B8)=1,"Blank: unknown (enter 0 if it does not apply)",IF(ISNUMBER(B8),IF(B8&lt;0,"Enter zero or a positive amount.",""),"Enter a number, or leave blank if unknown."))</f>
      </c>
    </row>
    <row r="9">
      <c r="A9" t="inlineStr">
        <is>
          <t xml:space="preserve">Other regular income</t>
        </is>
      </c>
      <c r="B9" s="4"/>
      <c r="C9" s="9" t="str">
        <f>IF(COUNTBLANK(B9)=1,"Blank: unknown (enter 0 if it does not apply)",IF(ISNUMBER(B9),IF(B9&lt;0,"Enter zero or a positive amount.",""),"Enter a number, or leave blank if unknown."))</f>
      </c>
    </row>
    <row r="10">
      <c r="A10" s="2" t="inlineStr">
        <is>
          <t xml:space="preserve">Group total</t>
        </is>
      </c>
      <c r="B10" s="6">
        <f>IF(Income_State="known",Income_Total,"")</f>
      </c>
      <c r="C10" s="10" t="str">
        <f>IF(Income_State="known","Known",IF(Income_State="invalid","Needs attention: "&amp;Income_Invalid&amp;" entry(ies) not valid. Total not used.","Needs attention: "&amp;Income_Blank&amp;" blank line(s), so the total is unknown. Enter 0 for lines that do not apply."))</f>
      </c>
    </row>
    <row r="12">
      <c r="A12" s="2" t="inlineStr">
        <is>
          <t xml:space="preserve">2. Monthly essential costs</t>
        </is>
      </c>
    </row>
    <row r="13">
      <c r="A13" t="inlineStr">
        <is>
          <t xml:space="preserve">Housing (rent or mortgage payment)</t>
        </is>
      </c>
      <c r="B13" s="4"/>
      <c r="C13" s="9" t="str">
        <f>IF(COUNTBLANK(B13)=1,"Blank: unknown (enter 0 if it does not apply)",IF(ISNUMBER(B13),IF(B13&lt;0,"Enter zero or a positive amount.",""),"Enter a number, or leave blank if unknown."))</f>
      </c>
    </row>
    <row r="14">
      <c r="A14" t="inlineStr">
        <is>
          <t xml:space="preserve">Food and groceries</t>
        </is>
      </c>
      <c r="B14" s="4"/>
      <c r="C14" s="9" t="str">
        <f>IF(COUNTBLANK(B14)=1,"Blank: unknown (enter 0 if it does not apply)",IF(ISNUMBER(B14),IF(B14&lt;0,"Enter zero or a positive amount.",""),"Enter a number, or leave blank if unknown."))</f>
      </c>
    </row>
    <row r="15">
      <c r="A15" t="inlineStr">
        <is>
          <t xml:space="preserve">Utilities (energy, water, phone, internet)</t>
        </is>
      </c>
      <c r="B15" s="4"/>
      <c r="C15" s="9" t="str">
        <f>IF(COUNTBLANK(B15)=1,"Blank: unknown (enter 0 if it does not apply)",IF(ISNUMBER(B15),IF(B15&lt;0,"Enter zero or a positive amount.",""),"Enter a number, or leave blank if unknown."))</f>
      </c>
    </row>
    <row r="16">
      <c r="A16" t="inlineStr">
        <is>
          <t xml:space="preserve">Insurance</t>
        </is>
      </c>
      <c r="B16" s="4"/>
      <c r="C16" s="9" t="str">
        <f>IF(COUNTBLANK(B16)=1,"Blank: unknown (enter 0 if it does not apply)",IF(ISNUMBER(B16),IF(B16&lt;0,"Enter zero or a positive amount.",""),"Enter a number, or leave blank if unknown."))</f>
      </c>
    </row>
    <row r="17">
      <c r="A17" t="inlineStr">
        <is>
          <t xml:space="preserve">Transport</t>
        </is>
      </c>
      <c r="B17" s="4"/>
      <c r="C17" s="9" t="str">
        <f>IF(COUNTBLANK(B17)=1,"Blank: unknown (enter 0 if it does not apply)",IF(ISNUMBER(B17),IF(B17&lt;0,"Enter zero or a positive amount.",""),"Enter a number, or leave blank if unknown."))</f>
      </c>
    </row>
    <row r="18">
      <c r="A18" t="inlineStr">
        <is>
          <t xml:space="preserve">Childcare</t>
        </is>
      </c>
      <c r="B18" s="4"/>
      <c r="C18" s="9" t="str">
        <f>IF(COUNTBLANK(B18)=1,"Blank: unknown (enter 0 if it does not apply)",IF(ISNUMBER(B18),IF(B18&lt;0,"Enter zero or a positive amount.",""),"Enter a number, or leave blank if unknown."))</f>
      </c>
    </row>
    <row r="19">
      <c r="A19" t="inlineStr">
        <is>
          <t xml:space="preserve">Other essential costs</t>
        </is>
      </c>
      <c r="B19" s="4"/>
      <c r="C19" s="9" t="str">
        <f>IF(COUNTBLANK(B19)=1,"Blank: unknown (enter 0 if it does not apply)",IF(ISNUMBER(B19),IF(B19&lt;0,"Enter zero or a positive amount.",""),"Enter a number, or leave blank if unknown."))</f>
      </c>
    </row>
    <row r="20">
      <c r="A20" s="2" t="inlineStr">
        <is>
          <t xml:space="preserve">Group total</t>
        </is>
      </c>
      <c r="B20" s="6">
        <f>IF(Essentials_State="known",Essentials_Total,"")</f>
      </c>
      <c r="C20" s="10" t="str">
        <f>IF(Essentials_State="known","Known",IF(Essentials_State="invalid","Needs attention: "&amp;Essentials_Invalid&amp;" entry(ies) not valid. Total not used.","Needs attention: "&amp;Essentials_Blank&amp;" blank line(s), so the total is unknown. Enter 0 for lines that do not apply."))</f>
      </c>
    </row>
    <row r="22">
      <c r="A22" s="2" t="inlineStr">
        <is>
          <t xml:space="preserve">3. Minimum debt payments (monthly)</t>
        </is>
      </c>
    </row>
    <row r="23">
      <c r="A23" t="inlineStr">
        <is>
          <t xml:space="preserve">Credit cards (minimum payment)</t>
        </is>
      </c>
      <c r="B23" s="4"/>
      <c r="C23" s="9" t="str">
        <f>IF(COUNTBLANK(B23)=1,"Blank: unknown (enter 0 if it does not apply)",IF(ISNUMBER(B23),IF(B23&lt;0,"Enter zero or a positive amount.",""),"Enter a number, or leave blank if unknown."))</f>
      </c>
    </row>
    <row r="24">
      <c r="A24" t="inlineStr">
        <is>
          <t xml:space="preserve">Car or personal loans</t>
        </is>
      </c>
      <c r="B24" s="4"/>
      <c r="C24" s="9" t="str">
        <f>IF(COUNTBLANK(B24)=1,"Blank: unknown (enter 0 if it does not apply)",IF(ISNUMBER(B24),IF(B24&lt;0,"Enter zero or a positive amount.",""),"Enter a number, or leave blank if unknown."))</f>
      </c>
    </row>
    <row r="25">
      <c r="A25" t="inlineStr">
        <is>
          <t xml:space="preserve">Student loans</t>
        </is>
      </c>
      <c r="B25" s="4"/>
      <c r="C25" s="9" t="str">
        <f>IF(COUNTBLANK(B25)=1,"Blank: unknown (enter 0 if it does not apply)",IF(ISNUMBER(B25),IF(B25&lt;0,"Enter zero or a positive amount.",""),"Enter a number, or leave blank if unknown."))</f>
      </c>
    </row>
    <row r="26">
      <c r="A26" t="inlineStr">
        <is>
          <t xml:space="preserve">Other minimum debt payments</t>
        </is>
      </c>
      <c r="B26" s="4"/>
      <c r="C26" s="9" t="str">
        <f>IF(COUNTBLANK(B26)=1,"Blank: unknown (enter 0 if it does not apply)",IF(ISNUMBER(B26),IF(B26&lt;0,"Enter zero or a positive amount.",""),"Enter a number, or leave blank if unknown."))</f>
      </c>
    </row>
    <row r="27">
      <c r="A27" s="2" t="inlineStr">
        <is>
          <t xml:space="preserve">Group total</t>
        </is>
      </c>
      <c r="B27" s="6">
        <f>IF(DebtMin_State="known",DebtMin_Total,"")</f>
      </c>
      <c r="C27" s="10" t="str">
        <f>IF(DebtMin_State="known","Known",IF(DebtMin_State="invalid","Needs attention: "&amp;DebtMin_Invalid&amp;" entry(ies) not valid. Total not used.","Needs attention: "&amp;DebtMin_Blank&amp;" blank line(s), so the total is unknown. Enter 0 for lines that do not apply."))</f>
      </c>
    </row>
    <row r="29">
      <c r="A29" s="2" t="inlineStr">
        <is>
          <t xml:space="preserve">4. Flexible spending (monthly)</t>
        </is>
      </c>
    </row>
    <row r="30">
      <c r="A30" t="inlineStr">
        <is>
          <t xml:space="preserve">Eating out and entertainment</t>
        </is>
      </c>
      <c r="B30" s="4"/>
      <c r="C30" s="9" t="str">
        <f>IF(COUNTBLANK(B30)=1,"Blank: unknown (enter 0 if it does not apply)",IF(ISNUMBER(B30),IF(B30&lt;0,"Enter zero or a positive amount.",""),"Enter a number, or leave blank if unknown."))</f>
      </c>
    </row>
    <row r="31">
      <c r="A31" t="inlineStr">
        <is>
          <t xml:space="preserve">Subscriptions</t>
        </is>
      </c>
      <c r="B31" s="4"/>
      <c r="C31" s="9" t="str">
        <f>IF(COUNTBLANK(B31)=1,"Blank: unknown (enter 0 if it does not apply)",IF(ISNUMBER(B31),IF(B31&lt;0,"Enter zero or a positive amount.",""),"Enter a number, or leave blank if unknown."))</f>
      </c>
    </row>
    <row r="32">
      <c r="A32" t="inlineStr">
        <is>
          <t xml:space="preserve">Shopping and personal</t>
        </is>
      </c>
      <c r="B32" s="4"/>
      <c r="C32" s="9" t="str">
        <f>IF(COUNTBLANK(B32)=1,"Blank: unknown (enter 0 if it does not apply)",IF(ISNUMBER(B32),IF(B32&lt;0,"Enter zero or a positive amount.",""),"Enter a number, or leave blank if unknown."))</f>
      </c>
    </row>
    <row r="33">
      <c r="A33" t="inlineStr">
        <is>
          <t xml:space="preserve">Other flexible spending</t>
        </is>
      </c>
      <c r="B33" s="4"/>
      <c r="C33" s="9" t="str">
        <f>IF(COUNTBLANK(B33)=1,"Blank: unknown (enter 0 if it does not apply)",IF(ISNUMBER(B33),IF(B33&lt;0,"Enter zero or a positive amount.",""),"Enter a number, or leave blank if unknown."))</f>
      </c>
    </row>
    <row r="34">
      <c r="A34" s="2" t="inlineStr">
        <is>
          <t xml:space="preserve">Group total</t>
        </is>
      </c>
      <c r="B34" s="6">
        <f>IF(Flexible_State="known",Flexible_Total,"")</f>
      </c>
      <c r="C34" s="10" t="str">
        <f>IF(Flexible_State="known","Known",IF(Flexible_State="invalid","Needs attention: "&amp;Flexible_Invalid&amp;" entry(ies) not valid. Total not used.","Needs attention: "&amp;Flexible_Blank&amp;" blank line(s), so the total is unknown. Enter 0 for lines that do not apply."))</f>
      </c>
    </row>
    <row r="36">
      <c r="A36" s="2" t="inlineStr">
        <is>
          <t xml:space="preserve">5. Accessible cash (today)</t>
        </is>
      </c>
    </row>
    <row r="37">
      <c r="A37" t="inlineStr">
        <is>
          <t xml:space="preserve">Current or checking accounts</t>
        </is>
      </c>
      <c r="B37" s="4"/>
      <c r="C37" s="9" t="str">
        <f>IF(COUNTBLANK(B37)=1,"Blank: unknown (enter 0 if it does not apply)",IF(ISNUMBER(B37),IF(B37&lt;0,"Enter zero or a positive amount.",""),"Enter a number, or leave blank if unknown."))</f>
      </c>
    </row>
    <row r="38">
      <c r="A38" t="inlineStr">
        <is>
          <t xml:space="preserve">Savings accounts</t>
        </is>
      </c>
      <c r="B38" s="4"/>
      <c r="C38" s="9" t="str">
        <f>IF(COUNTBLANK(B38)=1,"Blank: unknown (enter 0 if it does not apply)",IF(ISNUMBER(B38),IF(B38&lt;0,"Enter zero or a positive amount.",""),"Enter a number, or leave blank if unknown."))</f>
      </c>
    </row>
    <row r="39">
      <c r="A39" t="inlineStr">
        <is>
          <t xml:space="preserve">Other cash you can reach quickly</t>
        </is>
      </c>
      <c r="B39" s="4"/>
      <c r="C39" s="9" t="str">
        <f>IF(COUNTBLANK(B39)=1,"Blank: unknown (enter 0 if it does not apply)",IF(ISNUMBER(B39),IF(B39&lt;0,"Enter zero or a positive amount.",""),"Enter a number, or leave blank if unknown."))</f>
      </c>
    </row>
    <row r="40">
      <c r="A40" s="2" t="inlineStr">
        <is>
          <t xml:space="preserve">Group total</t>
        </is>
      </c>
      <c r="B40" s="6">
        <f>IF(Cash_State="known",Cash_Total,"")</f>
      </c>
      <c r="C40" s="10" t="str">
        <f>IF(Cash_State="known","Known",IF(Cash_State="invalid","Needs attention: "&amp;Cash_Invalid&amp;" entry(ies) not valid. Total not used.","Needs attention: "&amp;Cash_Blank&amp;" blank line(s), so the total is unknown. Enter 0 for lines that do not apply."))</f>
      </c>
    </row>
    <row r="42">
      <c r="A42" s="2" t="inlineStr">
        <is>
          <t xml:space="preserve">6. Money already earmarked (today)</t>
        </is>
      </c>
    </row>
    <row r="43">
      <c r="A43" t="inlineStr">
        <is>
          <t xml:space="preserve">Taxes due</t>
        </is>
      </c>
      <c r="B43" s="4"/>
      <c r="C43" s="9" t="str">
        <f>IF(COUNTBLANK(B43)=1,"Blank: unknown (enter 0 if it does not apply)",IF(ISNUMBER(B43),IF(B43&lt;0,"Enter zero or a positive amount.",""),"Enter a number, or leave blank if unknown."))</f>
      </c>
    </row>
    <row r="44">
      <c r="A44" t="inlineStr">
        <is>
          <t xml:space="preserve">Known upcoming bills</t>
        </is>
      </c>
      <c r="B44" s="4"/>
      <c r="C44" s="9" t="str">
        <f>IF(COUNTBLANK(B44)=1,"Blank: unknown (enter 0 if it does not apply)",IF(ISNUMBER(B44),IF(B44&lt;0,"Enter zero or a positive amount.",""),"Enter a number, or leave blank if unknown."))</f>
      </c>
    </row>
    <row r="45">
      <c r="A45" t="inlineStr">
        <is>
          <t xml:space="preserve">Planned near-term purchases</t>
        </is>
      </c>
      <c r="B45" s="4"/>
      <c r="C45" s="9" t="str">
        <f>IF(COUNTBLANK(B45)=1,"Blank: unknown (enter 0 if it does not apply)",IF(ISNUMBER(B45),IF(B45&lt;0,"Enter zero or a positive amount.",""),"Enter a number, or leave blank if unknown."))</f>
      </c>
    </row>
    <row r="46">
      <c r="A46" s="2" t="inlineStr">
        <is>
          <t xml:space="preserve">Group total</t>
        </is>
      </c>
      <c r="B46" s="6">
        <f>IF(Earmarked_State="known",Earmarked_Total,"")</f>
      </c>
      <c r="C46" s="10" t="str">
        <f>IF(Earmarked_State="known","Known",IF(Earmarked_State="invalid","Needs attention: "&amp;Earmarked_Invalid&amp;" entry(ies) not valid. Total not used.","Needs attention: "&amp;Earmarked_Blank&amp;" blank line(s), so the total is unknown. Enter 0 for lines that do not apply."))</f>
      </c>
    </row>
    <row r="48">
      <c r="A48" s="2" t="inlineStr">
        <is>
          <t xml:space="preserve">7. Buffer target (months: 1, 3 or 6)</t>
        </is>
      </c>
    </row>
    <row r="49">
      <c r="A49" t="inlineStr">
        <is>
          <t xml:space="preserve">Buffer target in months</t>
        </is>
      </c>
      <c r="B49" s="5">
        <v>3</v>
      </c>
      <c r="C49" s="9" t="str">
        <f>IF(TM_Valid,IF(TM_Blank,"Blank: the default of 3 months is used",""),"Choose 1, 3 or 6 months.")</f>
      </c>
    </row>
  </sheetData>
  <sheetProtection sheet="1" objects="1" scenarios="1"/>
  <dataValidations count="2">
    <dataValidation type="decimal" operator="greaterThanOrEqual" allowBlank="1" showInputMessage="1" showErrorMessage="1" errorTitle="Not valid" error="Enter zero or a positive amount. Leave blank if unknown." promptTitle="Amount" prompt="Blank means unknown. Enter 0 if this does not apply." sqref="B6:B9 B13:B19 B23:B26 B30:B33 B37:B39 B43:B45">
      <formula1>0</formula1>
    </dataValidation>
    <dataValidation type="list" allowBlank="1" showInputMessage="1" showErrorMessage="1" errorTitle="Not valid" error="Choose 1, 3 or 6 months." promptTitle="Buffer target" prompt="1, 3 or 6 months. Blank uses the default of 3." sqref="B49">
      <formula1>"1,3,6"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cols>
    <col min="1" max="1" width="24" customWidth="1"/>
    <col min="2" max="2" width="22" customWidth="1"/>
    <col min="3" max="3" width="12" customWidth="1"/>
    <col min="4" max="4" width="12" customWidth="1"/>
    <col min="5" max="5" width="12" customWidth="1"/>
    <col min="6" max="6" width="12" customWidth="1"/>
    <col min="7" max="7" width="12" customWidth="1"/>
    <col min="8" max="8" width="12" customWidth="1"/>
    <col min="9" max="9" width="12" customWidth="1"/>
    <col min="10" max="10" width="14" customWidth="1"/>
    <col min="11" max="11" width="70" customWidth="1"/>
  </cols>
  <sheetData>
    <row r="1">
      <c r="A1" s="1" t="inlineStr">
        <is>
          <t xml:space="preserve">Calculations (formulas only; protected without a password)</t>
        </is>
      </c>
    </row>
    <row r="2">
      <c r="A2" s="9" t="inlineStr">
        <is>
          <t xml:space="preserve">Reproduces calc() and explain() of planner.js sha256 a43506b5755cd94aea24c63f90999b1987351996eb86741aeb0f8ad542ff9ba0. Unknown values are shown as empty cells, never as zero.</t>
        </is>
      </c>
    </row>
    <row r="4">
      <c r="A4" s="8" t="inlineStr">
        <is>
          <t xml:space="preserve">Group</t>
        </is>
      </c>
      <c r="B4" s="8" t="inlineStr">
        <is>
          <t xml:space="preserve">key</t>
        </is>
      </c>
      <c r="C4" s="8" t="inlineStr">
        <is>
          <t xml:space="preserve">Lines</t>
        </is>
      </c>
      <c r="D4" s="8" t="inlineStr">
        <is>
          <t xml:space="preserve">Numbers</t>
        </is>
      </c>
      <c r="E4" s="8" t="inlineStr">
        <is>
          <t xml:space="preserve">Blank</t>
        </is>
      </c>
      <c r="F4" s="8" t="inlineStr">
        <is>
          <t xml:space="preserve">Negative</t>
        </is>
      </c>
      <c r="G4" s="8" t="inlineStr">
        <is>
          <t xml:space="preserve">Non-numeric</t>
        </is>
      </c>
      <c r="H4" s="8" t="inlineStr">
        <is>
          <t xml:space="preserve">Not valid</t>
        </is>
      </c>
      <c r="I4" s="8" t="inlineStr">
        <is>
          <t xml:space="preserve">State</t>
        </is>
      </c>
      <c r="J4" s="8" t="inlineStr">
        <is>
          <t xml:space="preserve">Total</t>
        </is>
      </c>
      <c r="K4" s="8" t="inlineStr">
        <is>
          <t xml:space="preserve">Rule</t>
        </is>
      </c>
    </row>
    <row r="5">
      <c r="A5" t="inlineStr">
        <is>
          <t xml:space="preserve">monthly take-home income</t>
        </is>
      </c>
      <c r="B5" t="inlineStr">
        <is>
          <t xml:space="preserve">income</t>
        </is>
      </c>
      <c r="C5">
        <f>ROWS(Income_Lines)</f>
      </c>
      <c r="D5">
        <f>COUNT(Income_Lines)</f>
      </c>
      <c r="E5">
        <f>COUNTBLANK(Income_Lines)</f>
      </c>
      <c r="F5">
        <f>COUNTIF(Income_Lines,"&lt;0")</f>
      </c>
      <c r="G5">
        <f>Income_Count-Income_Numbers-Income_Blank</f>
      </c>
      <c r="H5">
        <f>Income_Negative+Income_NonNumeric</f>
      </c>
      <c r="I5" t="str">
        <f>IF(Income_Invalid&gt;0,"invalid",IF(Income_Blank&gt;0,"unknown","known"))</f>
      </c>
      <c r="J5" s="6">
        <f>IF(Income_State="known",SUM(Income_Lines),"")</f>
      </c>
      <c r="K5" s="9" t="inlineStr">
        <is>
          <t xml:space="preserve">Known only when every line has a number; any blank line makes it unknown; text or a negative amount makes it not valid.</t>
        </is>
      </c>
    </row>
    <row r="6">
      <c r="A6" t="inlineStr">
        <is>
          <t xml:space="preserve">monthly essential costs</t>
        </is>
      </c>
      <c r="B6" t="inlineStr">
        <is>
          <t xml:space="preserve">essentials</t>
        </is>
      </c>
      <c r="C6">
        <f>ROWS(Essentials_Lines)</f>
      </c>
      <c r="D6">
        <f>COUNT(Essentials_Lines)</f>
      </c>
      <c r="E6">
        <f>COUNTBLANK(Essentials_Lines)</f>
      </c>
      <c r="F6">
        <f>COUNTIF(Essentials_Lines,"&lt;0")</f>
      </c>
      <c r="G6">
        <f>Essentials_Count-Essentials_Numbers-Essentials_Blank</f>
      </c>
      <c r="H6">
        <f>Essentials_Negative+Essentials_NonNumeric</f>
      </c>
      <c r="I6" t="str">
        <f>IF(Essentials_Invalid&gt;0,"invalid",IF(Essentials_Blank&gt;0,"unknown","known"))</f>
      </c>
      <c r="J6" s="6">
        <f>IF(Essentials_State="known",SUM(Essentials_Lines),"")</f>
      </c>
      <c r="K6" s="9" t="inlineStr">
        <is>
          <t xml:space="preserve">Known only when every line has a number; any blank line makes it unknown; text or a negative amount makes it not valid.</t>
        </is>
      </c>
    </row>
    <row r="7">
      <c r="A7" t="inlineStr">
        <is>
          <t xml:space="preserve">minimum debt payments</t>
        </is>
      </c>
      <c r="B7" t="inlineStr">
        <is>
          <t xml:space="preserve">debtMin</t>
        </is>
      </c>
      <c r="C7">
        <f>ROWS(DebtMin_Lines)</f>
      </c>
      <c r="D7">
        <f>COUNT(DebtMin_Lines)</f>
      </c>
      <c r="E7">
        <f>COUNTBLANK(DebtMin_Lines)</f>
      </c>
      <c r="F7">
        <f>COUNTIF(DebtMin_Lines,"&lt;0")</f>
      </c>
      <c r="G7">
        <f>DebtMin_Count-DebtMin_Numbers-DebtMin_Blank</f>
      </c>
      <c r="H7">
        <f>DebtMin_Negative+DebtMin_NonNumeric</f>
      </c>
      <c r="I7" t="str">
        <f>IF(DebtMin_Invalid&gt;0,"invalid",IF(DebtMin_Blank&gt;0,"unknown","known"))</f>
      </c>
      <c r="J7" s="6">
        <f>IF(DebtMin_State="known",SUM(DebtMin_Lines),"")</f>
      </c>
      <c r="K7" s="9" t="inlineStr">
        <is>
          <t xml:space="preserve">Known only when every line has a number; any blank line makes it unknown; text or a negative amount makes it not valid.</t>
        </is>
      </c>
    </row>
    <row r="8">
      <c r="A8" t="inlineStr">
        <is>
          <t xml:space="preserve">flexible spending (or 0)</t>
        </is>
      </c>
      <c r="B8" t="inlineStr">
        <is>
          <t xml:space="preserve">flexible</t>
        </is>
      </c>
      <c r="C8">
        <f>ROWS(Flexible_Lines)</f>
      </c>
      <c r="D8">
        <f>COUNT(Flexible_Lines)</f>
      </c>
      <c r="E8">
        <f>COUNTBLANK(Flexible_Lines)</f>
      </c>
      <c r="F8">
        <f>COUNTIF(Flexible_Lines,"&lt;0")</f>
      </c>
      <c r="G8">
        <f>Flexible_Count-Flexible_Numbers-Flexible_Blank</f>
      </c>
      <c r="H8">
        <f>Flexible_Negative+Flexible_NonNumeric</f>
      </c>
      <c r="I8" t="str">
        <f>IF(Flexible_Invalid&gt;0,"invalid",IF(Flexible_Blank&gt;0,"unknown","known"))</f>
      </c>
      <c r="J8" s="6">
        <f>IF(Flexible_State="known",SUM(Flexible_Lines),"")</f>
      </c>
      <c r="K8" s="9" t="inlineStr">
        <is>
          <t xml:space="preserve">Known only when every line has a number; any blank line makes it unknown; text or a negative amount makes it not valid.</t>
        </is>
      </c>
    </row>
    <row r="9">
      <c r="A9" t="inlineStr">
        <is>
          <t xml:space="preserve">accessible cash</t>
        </is>
      </c>
      <c r="B9" t="inlineStr">
        <is>
          <t xml:space="preserve">cash</t>
        </is>
      </c>
      <c r="C9">
        <f>ROWS(Cash_Lines)</f>
      </c>
      <c r="D9">
        <f>COUNT(Cash_Lines)</f>
      </c>
      <c r="E9">
        <f>COUNTBLANK(Cash_Lines)</f>
      </c>
      <c r="F9">
        <f>COUNTIF(Cash_Lines,"&lt;0")</f>
      </c>
      <c r="G9">
        <f>Cash_Count-Cash_Numbers-Cash_Blank</f>
      </c>
      <c r="H9">
        <f>Cash_Negative+Cash_NonNumeric</f>
      </c>
      <c r="I9" t="str">
        <f>IF(Cash_Invalid&gt;0,"invalid",IF(Cash_Blank&gt;0,"unknown","known"))</f>
      </c>
      <c r="J9" s="6">
        <f>IF(Cash_State="known",SUM(Cash_Lines),"")</f>
      </c>
      <c r="K9" s="9" t="inlineStr">
        <is>
          <t xml:space="preserve">Known only when every line has a number; any blank line makes it unknown; text or a negative amount makes it not valid.</t>
        </is>
      </c>
    </row>
    <row r="10">
      <c r="A10" t="inlineStr">
        <is>
          <t xml:space="preserve">money already earmarked</t>
        </is>
      </c>
      <c r="B10" t="inlineStr">
        <is>
          <t xml:space="preserve">earmarked</t>
        </is>
      </c>
      <c r="C10">
        <f>ROWS(Earmarked_Lines)</f>
      </c>
      <c r="D10">
        <f>COUNT(Earmarked_Lines)</f>
      </c>
      <c r="E10">
        <f>COUNTBLANK(Earmarked_Lines)</f>
      </c>
      <c r="F10">
        <f>COUNTIF(Earmarked_Lines,"&lt;0")</f>
      </c>
      <c r="G10">
        <f>Earmarked_Count-Earmarked_Numbers-Earmarked_Blank</f>
      </c>
      <c r="H10">
        <f>Earmarked_Negative+Earmarked_NonNumeric</f>
      </c>
      <c r="I10" t="str">
        <f>IF(Earmarked_Invalid&gt;0,"invalid",IF(Earmarked_Blank&gt;0,"unknown","known"))</f>
      </c>
      <c r="J10" s="6">
        <f>IF(Earmarked_State="known",SUM(Earmarked_Lines),"")</f>
      </c>
      <c r="K10" s="9" t="inlineStr">
        <is>
          <t xml:space="preserve">Known only when every line has a number; any blank line makes it unknown; text or a negative amount makes it not valid.</t>
        </is>
      </c>
    </row>
    <row r="12">
      <c r="A12" s="8" t="inlineStr">
        <is>
          <t xml:space="preserve">Name</t>
        </is>
      </c>
      <c r="B12" s="8" t="inlineStr">
        <is>
          <t xml:space="preserve">Value</t>
        </is>
      </c>
      <c r="K12" s="8" t="inlineStr">
        <is>
          <t xml:space="preserve">planner.js equivalent</t>
        </is>
      </c>
    </row>
    <row r="13">
      <c r="A13" t="inlineStr">
        <is>
          <t xml:space="preserve">TM_Blank</t>
        </is>
      </c>
      <c r="B13">
        <f>COUNTBLANK(TargetMonths_Input)=1</f>
      </c>
      <c r="K13" s="9" t="inlineStr">
        <is>
          <t xml:space="preserve">target cell blank -&gt; default 3 (planner UI: Number(value) || 3)</t>
        </is>
      </c>
    </row>
    <row r="14">
      <c r="A14" t="inlineStr">
        <is>
          <t xml:space="preserve">TargetMonths</t>
        </is>
      </c>
      <c r="B14">
        <f>IF(TM_Blank,3,IF(OR(TargetMonths_Input=1,TargetMonths_Input="1"),1,IF(OR(TargetMonths_Input=3,TargetMonths_Input="3"),3,IF(OR(TargetMonths_Input=6,TargetMonths_Input="6"),6,""))))</f>
      </c>
      <c r="K14" s="9" t="inlineStr">
        <is>
          <t xml:space="preserve">i.targetMonths (1, 3 or 6)</t>
        </is>
      </c>
    </row>
    <row r="15">
      <c r="A15" t="inlineStr">
        <is>
          <t xml:space="preserve">TM_Valid</t>
        </is>
      </c>
      <c r="B15">
        <f>ISNUMBER(TargetMonths)</f>
      </c>
      <c r="K15" s="9" t="inlineStr">
        <is>
          <t xml:space="preserve">target is 1, 3 or 6</t>
        </is>
      </c>
    </row>
    <row r="16">
      <c r="A16" t="inlineStr">
        <is>
          <t xml:space="preserve">AnyInvalid</t>
        </is>
      </c>
      <c r="B16">
        <f>OR(Income_State="invalid",Essentials_State="invalid",DebtMin_State="invalid",Flexible_State="invalid",Cash_State="invalid",Earmarked_State="invalid",NOT(TM_Valid))</f>
      </c>
      <c r="K16" s="9" t="inlineStr">
        <is>
          <t xml:space="preserve">planner UI shows no result while parseAmount() reports an error</t>
        </is>
      </c>
    </row>
    <row r="17">
      <c r="A17" t="inlineStr">
        <is>
          <t xml:space="preserve">NeedKnown</t>
        </is>
      </c>
      <c r="B17">
        <f>AND(Essentials_State="known",DebtMin_State="known")</f>
      </c>
      <c r="K17" s="9" t="inlineStr">
        <is>
          <t xml:space="preserve">essentials and debtMin known</t>
        </is>
      </c>
    </row>
    <row r="18">
      <c r="A18" t="inlineStr">
        <is>
          <t xml:space="preserve">MonthlyNeed</t>
        </is>
      </c>
      <c r="B18" s="6">
        <f>IF(NeedKnown,Essentials_Total+DebtMin_Total,"")</f>
      </c>
      <c r="K18" s="9" t="inlineStr">
        <is>
          <t xml:space="preserve">monthlyNeed = essentials + debtMin</t>
        </is>
      </c>
    </row>
    <row r="19">
      <c r="A19" t="inlineStr">
        <is>
          <t xml:space="preserve">RBFKnown</t>
        </is>
      </c>
      <c r="B19">
        <f>AND(Income_State="known",Essentials_State="known",DebtMin_State="known")</f>
      </c>
      <c r="K19" s="9" t="inlineStr">
        <is>
          <t xml:space="preserve">roomBeforeFlexible !== undefined</t>
        </is>
      </c>
    </row>
    <row r="20">
      <c r="A20" t="inlineStr">
        <is>
          <t xml:space="preserve">RoomBeforeFlexible</t>
        </is>
      </c>
      <c r="B20" s="6">
        <f>IF(RBFKnown,Income_Total-Essentials_Total-DebtMin_Total,"")</f>
      </c>
      <c r="K20" s="9" t="inlineStr">
        <is>
          <t xml:space="preserve">roomBeforeFlexible = income - essentials - debtMin</t>
        </is>
      </c>
    </row>
    <row r="21">
      <c r="A21" t="inlineStr">
        <is>
          <t xml:space="preserve">RoomKnown</t>
        </is>
      </c>
      <c r="B21">
        <f>AND(RBFKnown,Flexible_State="known")</f>
      </c>
      <c r="K21" s="9" t="inlineStr">
        <is>
          <t xml:space="preserve">monthlyRoom.value !== null (budgetComplete)</t>
        </is>
      </c>
    </row>
    <row r="22">
      <c r="A22" t="inlineStr">
        <is>
          <t xml:space="preserve">MonthlyRoom</t>
        </is>
      </c>
      <c r="B22" s="6">
        <f>IF(RoomKnown,RoomBeforeFlexible-Flexible_Total,"")</f>
      </c>
      <c r="K22" s="9" t="inlineStr">
        <is>
          <t xml:space="preserve">monthlyRoom = before - flexible (unknown if flexible unknown)</t>
        </is>
      </c>
    </row>
    <row r="23">
      <c r="A23" t="inlineStr">
        <is>
          <t xml:space="preserve">CashKnown</t>
        </is>
      </c>
      <c r="B23">
        <f>AND(Cash_State="known",Earmarked_State="known")</f>
      </c>
      <c r="K23" s="9" t="inlineStr">
        <is>
          <t xml:space="preserve">cash and earmarked known</t>
        </is>
      </c>
    </row>
    <row r="24">
      <c r="A24" t="inlineStr">
        <is>
          <t xml:space="preserve">EmergencyCash</t>
        </is>
      </c>
      <c r="B24" s="6">
        <f>IF(CashKnown,MAX(0,Cash_Total-Earmarked_Total),"")</f>
      </c>
      <c r="K24" s="9" t="inlineStr">
        <is>
          <t xml:space="preserve">emergencyCash = max(0, cash - earmarked)</t>
        </is>
      </c>
    </row>
    <row r="25">
      <c r="A25" t="inlineStr">
        <is>
          <t xml:space="preserve">EarmarkShortfall</t>
        </is>
      </c>
      <c r="B25" s="6">
        <f>IF(CashKnown,MAX(0,Earmarked_Total-Cash_Total),"")</f>
      </c>
      <c r="K25" s="9" t="inlineStr">
        <is>
          <t xml:space="preserve">shortfallOfEarmarks = max(0, earmarked - cash)</t>
        </is>
      </c>
    </row>
    <row r="26">
      <c r="A26" t="inlineStr">
        <is>
          <t xml:space="preserve">BufferKnown</t>
        </is>
      </c>
      <c r="B26">
        <f>IF(AND(NeedKnown,CashKnown),MonthlyNeed&lt;&gt;0,FALSE)</f>
      </c>
      <c r="K26" s="9" t="inlineStr">
        <is>
          <t xml:space="preserve">bufferMonths.value !== null</t>
        </is>
      </c>
    </row>
    <row r="27">
      <c r="A27" t="inlineStr">
        <is>
          <t xml:space="preserve">BufferMonths</t>
        </is>
      </c>
      <c r="B27" s="7">
        <f>IF(BufferKnown,EmergencyCash/MonthlyNeed,"")</f>
      </c>
      <c r="K27" s="9" t="inlineStr">
        <is>
          <t xml:space="preserve">bufferMonths = emergencyCash / monthlyNeed</t>
        </is>
      </c>
    </row>
    <row r="28">
      <c r="A28" t="inlineStr">
        <is>
          <t xml:space="preserve">BufferNote</t>
        </is>
      </c>
      <c r="B28" s="3" t="str">
        <f>IF(AND(NeedKnown,CashKnown),IF(MonthlyNeed=0,"Monthly need is zero, so months of buffer are not meaningful.",""),"")</f>
      </c>
      <c r="K28" s="9" t="inlineStr">
        <is>
          <t xml:space="preserve">bufferMonths.note</t>
        </is>
      </c>
    </row>
    <row r="29">
      <c r="A29" t="inlineStr">
        <is>
          <t xml:space="preserve">FloorValue</t>
        </is>
      </c>
      <c r="B29" s="6">
        <f>IF(NeedKnown,MonthlyNeed,"")</f>
      </c>
      <c r="K29" s="9" t="inlineStr">
        <is>
          <t xml:space="preserve">floor = 1 month of need (A1)</t>
        </is>
      </c>
    </row>
    <row r="30">
      <c r="A30" t="inlineStr">
        <is>
          <t xml:space="preserve">TargetValue</t>
        </is>
      </c>
      <c r="B30" s="6">
        <f>IF(AND(NeedKnown,TM_Valid),MonthlyNeed*TargetMonths,"")</f>
      </c>
      <c r="K30" s="9" t="inlineStr">
        <is>
          <t xml:space="preserve">target = need x targetMonths (A2)</t>
        </is>
      </c>
    </row>
    <row r="31">
      <c r="A31" t="inlineStr">
        <is>
          <t xml:space="preserve">DefinitelyNegative</t>
        </is>
      </c>
      <c r="B31">
        <f>OR(IF(RoomKnown,MonthlyRoom&lt;0,FALSE),IF(RBFKnown,RoomBeforeFlexible&lt;0,FALSE))</f>
      </c>
      <c r="K31" s="9" t="inlineStr">
        <is>
          <t xml:space="preserve">definitelyNegative</t>
        </is>
      </c>
    </row>
    <row r="32">
      <c r="A32" t="inlineStr">
        <is>
          <t xml:space="preserve">Status</t>
        </is>
      </c>
      <c r="B32" s="2" t="str">
        <f>IF(AnyInvalid,"invalid",IF(OR(NOT(BufferKnown),NOT(RBFKnown)),"incomplete",IF(OR(DefinitelyNegative,BufferMonths&lt;1),"floor_not_met",IF(BufferMonths&lt;TargetMonths,"building","target_met"))))</f>
      </c>
      <c r="K32" s="9" t="inlineStr">
        <is>
          <t xml:space="preserve">status (plus 'invalid' = not computed, as in the planner UI)</t>
        </is>
      </c>
    </row>
    <row r="33">
      <c r="A33" t="inlineStr">
        <is>
          <t xml:space="preserve">BudgetComplete</t>
        </is>
      </c>
      <c r="B33">
        <f>RoomKnown</f>
      </c>
      <c r="K33" s="9" t="inlineStr">
        <is>
          <t xml:space="preserve">budgetComplete</t>
        </is>
      </c>
    </row>
    <row r="34">
      <c r="A34" t="inlineStr">
        <is>
          <t xml:space="preserve">InvestAllowed</t>
        </is>
      </c>
      <c r="B34">
        <f>IF(Status="target_met",IF(RoomKnown,MonthlyRoom&gt;0,FALSE),FALSE)</f>
      </c>
      <c r="K34" s="9" t="inlineStr">
        <is>
          <t xml:space="preserve">optionalInvesting.allowed</t>
        </is>
      </c>
    </row>
    <row r="35">
      <c r="A35" t="inlineStr">
        <is>
          <t xml:space="preserve">InvestText</t>
        </is>
      </c>
      <c r="B35" s="3" t="str">
        <f>IF(Status="invalid","",IF(Status="incomplete","Some answers are unknown, so this planner does not say anything about optional investing yet.",IF(Status="floor_not_met","Household safety first: optional investing, including any Bitcoin plan, waits until the safety floor is met. This holds whatever any market read says.",IF(NOT(RoomKnown),"Enter your flexible spending (or 0) to see whether any monthly room is left for optional investing. Until then this planner says nothing about it.",IF(MonthlyRoom&lt;=0,"There is no monthly room left after spending, so there is nothing to consider for optional investing.",IF(Status="building","Your floor is met, and the buffer is still building toward your target. Building the buffer usually comes before optional investing.","Your buffer meets the target you chose. Any optional investing, in any asset or none, comes from monthly room after essentials."))))))</f>
      </c>
      <c r="K35" s="9" t="inlineStr">
        <is>
          <t xml:space="preserve">optionalInvesting.text</t>
        </is>
      </c>
    </row>
    <row r="36">
      <c r="A36" t="inlineStr">
        <is>
          <t xml:space="preserve">MonthsToTarget</t>
        </is>
      </c>
      <c r="B36">
        <f>IF(Status="building",IF(RoomKnown,IF(MonthlyRoom&gt;0,ROUNDUP((TargetValue-EmergencyCash)/MonthlyRoom,0),""),""),"")</f>
      </c>
      <c r="K36" s="9" t="inlineStr">
        <is>
          <t xml:space="preserve">monthsToTarget = ceil((target - emergencyCash) / room)</t>
        </is>
      </c>
    </row>
    <row r="37">
      <c r="A37" t="inlineStr">
        <is>
          <t xml:space="preserve">CashPart</t>
        </is>
      </c>
      <c r="B37" t="str">
        <f>IF(BufferKnown,IF(BufferMonths&gt;=1,"met","not_met"),"unknown")</f>
      </c>
      <c r="K37" s="9" t="inlineStr">
        <is>
          <t xml:space="preserve">explain: cashPart</t>
        </is>
      </c>
    </row>
    <row r="38">
      <c r="A38" t="inlineStr">
        <is>
          <t xml:space="preserve">RoomPart</t>
        </is>
      </c>
      <c r="B38" t="str">
        <f>IF(RoomKnown,IF(MonthlyRoom&gt;=0,"met","not_met"),IF(RBFKnown,IF(RoomBeforeFlexible&lt;0,"not_met","unknown"),"unknown"))</f>
      </c>
      <c r="K38" s="9" t="inlineStr">
        <is>
          <t xml:space="preserve">explain: roomPart</t>
        </is>
      </c>
    </row>
    <row r="39">
      <c r="A39" t="inlineStr">
        <is>
          <t xml:space="preserve">FlexBlank</t>
        </is>
      </c>
      <c r="B39">
        <f>AND(RBFKnown,NOT(RoomKnown))</f>
      </c>
      <c r="K39" s="9" t="inlineStr">
        <is>
          <t xml:space="preserve">explain: flexBlank</t>
        </is>
      </c>
    </row>
    <row r="40">
      <c r="A40" t="inlineStr">
        <is>
          <t xml:space="preserve">Shortfall</t>
        </is>
      </c>
      <c r="B40" s="6">
        <f>IF(RoomKnown,IF(MonthlyRoom&lt;0,-MonthlyRoom,IF(RoomBeforeFlexible&lt;0,-RoomBeforeFlexible,"")),IF(RBFKnown,IF(RoomBeforeFlexible&lt;0,-RoomBeforeFlexible,""),""))</f>
      </c>
      <c r="K40" s="9" t="inlineStr">
        <is>
          <t xml:space="preserve">explain: shortfall</t>
        </is>
      </c>
    </row>
    <row r="41">
      <c r="A41" t="inlineStr">
        <is>
          <t xml:space="preserve">ShortfallKnown</t>
        </is>
      </c>
      <c r="B41">
        <f>ISNUMBER(Shortfall)</f>
      </c>
      <c r="K41" s="9" t="inlineStr">
        <is>
          <t xml:space="preserve">shortfall !== null</t>
        </is>
      </c>
    </row>
    <row r="42">
      <c r="A42" t="inlineStr">
        <is>
          <t xml:space="preserve">Txt_Gap</t>
        </is>
      </c>
      <c r="B42" t="str">
        <f>IF(ShortfallKnown,IF(FlexBlank,"at least ","")&amp;TEXT(Shortfall,"$#,##0"),"")</f>
      </c>
      <c r="K42" s="9" t="inlineStr">
        <is>
          <t xml:space="preserve">explain: gap</t>
        </is>
      </c>
    </row>
    <row r="43">
      <c r="A43" t="inlineStr">
        <is>
          <t xml:space="preserve">Txt_ShortfallTail</t>
        </is>
      </c>
      <c r="B43" s="3" t="str">
        <f>IF(NOT(ShortfallKnown),"",IF(NOT(RoomKnown),"our essential costs and minimum debt payments alone are "&amp;TEXT(Shortfall,"$#,##0")&amp;" a month more than your take-home income, so you spend at least "&amp;TEXT(Shortfall,"$#,##0")&amp;" a month more than you take home. Flexible spending is not known yet and would add to that.",IF(AND(RoomBeforeFlexible&lt;0,MonthlyRoom=RoomBeforeFlexible),"our essential costs and minimum debt payments are "&amp;TEXT(Shortfall,"$#,##0")&amp;" a month more than your take-home income, so you spend "&amp;TEXT(Shortfall,"$#,##0")&amp;" a month more than you take home.",IF(RoomBeforeFlexible&lt;0,"ou spend "&amp;TEXT(Shortfall,"$#,##0")&amp;" a month more than you take home. Your essential costs and minimum debt payments alone are already "&amp;TEXT(-RoomBeforeFlexible,"$#,##0")&amp;" more than your income.","ou spend "&amp;TEXT(Shortfall,"$#,##0")&amp;" a month more than you take home. Your essential costs and minimum debt payments fit within your income, but flexible spending of "&amp;TEXT(Flexible_Total,"$#,##0")&amp;" takes you over."))))</f>
      </c>
      <c r="K43" s="9" t="inlineStr">
        <is>
          <t xml:space="preserve">explain: shortfallText without its first letter ("Y"/"y")</t>
        </is>
      </c>
    </row>
    <row r="44">
      <c r="A44" t="inlineStr">
        <is>
          <t xml:space="preserve">Txt_Shortfall</t>
        </is>
      </c>
      <c r="B44" s="3" t="str">
        <f>IF(ShortfallKnown,"Y"&amp;Txt_ShortfallTail,"")</f>
      </c>
      <c r="K44" s="9" t="inlineStr">
        <is>
          <t xml:space="preserve">explain: shortfallText</t>
        </is>
      </c>
    </row>
    <row r="45">
      <c r="A45" t="inlineStr">
        <is>
          <t xml:space="preserve">Txt_CashText</t>
        </is>
      </c>
      <c r="B45" s="3" t="str">
        <f>IF(Status="target_met","Your emergency cash meets the target you chose.","Your emergency cash covers at least one month of need.")</f>
      </c>
      <c r="K45" s="9" t="inlineStr">
        <is>
          <t xml:space="preserve">explain: cashText</t>
        </is>
      </c>
    </row>
    <row r="46">
      <c r="A46" t="inlineStr">
        <is>
          <t xml:space="preserve">Txt_RoomUnknown</t>
        </is>
      </c>
      <c r="B46" s="3" t="str">
        <f>"Flexible spending is blank, so the planner cannot tell whether you spend less than you take home. Before flexible spending, "&amp;TEXT(IF(RBFKnown,RoomBeforeFlexible,0),"$#,##0")&amp;" a month is left. If your flexible spending is more than that, you are spending more than you take home, and the safety floor is not met."</f>
      </c>
      <c r="K46" s="9" t="inlineStr">
        <is>
          <t xml:space="preserve">explain: roomUnknownText</t>
        </is>
      </c>
    </row>
    <row r="47">
      <c r="A47" t="inlineStr">
        <is>
          <t xml:space="preserve">Txt_FloorCash</t>
        </is>
      </c>
      <c r="B47" s="3" t="str">
        <f>IF(CashPart="unknown","some answers it needs are missing (listed below).","emergency cash of "&amp;TEXT(EmergencyCash,"$#,##0")&amp;" "&amp;IF(CashPart="met","covers at least","is less than")&amp;" one month of essential costs and minimum debt payments ("&amp;TEXT(FloorValue,"$#,##0")&amp;").")</f>
      </c>
      <c r="K47" s="9" t="inlineStr">
        <is>
          <t xml:space="preserve">explain: floorCheck[cash].text</t>
        </is>
      </c>
    </row>
    <row r="48">
      <c r="A48" t="inlineStr">
        <is>
          <t xml:space="preserve">Txt_FloorRoom</t>
        </is>
      </c>
      <c r="B48" s="3" t="str">
        <f>IF(RoomPart="met",IF(MonthlyRoom=0,"$0 a month. You do not spend more than you take home, but nothing is left over.",TEXT(MonthlyRoom,"$#,##0")&amp;" a month. You do not spend more than you take home."),IF(RoomPart="not_met","a shortfall of "&amp;Txt_Gap&amp;" a month. You spend more than you take home.",IF(RBFKnown,"flexible spending is blank ("&amp;TEXT(RoomBeforeFlexible,"$#,##0")&amp;" a month is left before flexible spending).","some answers it needs are missing (listed below).")))</f>
      </c>
      <c r="K48" s="9" t="inlineStr">
        <is>
          <t xml:space="preserve">explain: floorCheck[room].text</t>
        </is>
      </c>
    </row>
    <row r="49">
      <c r="A49" t="inlineStr">
        <is>
          <t xml:space="preserve">Txt_CashLine</t>
        </is>
      </c>
      <c r="B49" s="3" t="str">
        <f>IF(Status="invalid","","Cash ("&amp;IF(CashPart="met","met",IF(CashPart="not_met","not met","not known yet"))&amp;"): "&amp;Txt_FloorCash)</f>
      </c>
      <c r="K49" s="9" t="inlineStr">
        <is>
          <t xml:space="preserve">render: floor check, cash part</t>
        </is>
      </c>
    </row>
    <row r="50">
      <c r="A50" t="inlineStr">
        <is>
          <t xml:space="preserve">Txt_RoomLineCheck</t>
        </is>
      </c>
      <c r="B50" s="3" t="str">
        <f>IF(Status="invalid","","Monthly room ("&amp;IF(RoomPart="met","met",IF(RoomPart="not_met","not met","not known yet"))&amp;"): "&amp;Txt_FloorRoom)</f>
      </c>
      <c r="K50" s="9" t="inlineStr">
        <is>
          <t xml:space="preserve">render: floor check, monthly room part</t>
        </is>
      </c>
    </row>
    <row r="51">
      <c r="A51" t="inlineStr">
        <is>
          <t xml:space="preserve">Txt_Title</t>
        </is>
      </c>
      <c r="B51" s="2" t="str">
        <f>IF(Status="invalid","No result yet: some entries are not valid",IF(Status="incomplete","Not enough information yet",IF(Status="floor_not_met","Safety floor not yet met",IF(RoomPart="unknown",IF(Status="target_met","Buffer target met, monthly room unknown","Cash floor covered, monthly room unknown"),IF(MonthlyRoom=0,IF(Status="target_met","Buffer target met, no monthly room","Floor met, no monthly room"),IF(Status="target_met","Buffer target met","Floor met, buffer building"))))))</f>
      </c>
      <c r="K51" s="9" t="inlineStr">
        <is>
          <t xml:space="preserve">explain: title</t>
        </is>
      </c>
    </row>
    <row r="52">
      <c r="A52" t="inlineStr">
        <is>
          <t xml:space="preserve">Txt_Summary</t>
        </is>
      </c>
      <c r="B52" s="3" t="str">
        <f>IF(Status="invalid","Fix the entries flagged in the Check column of the Inputs sheet (also listed below). Until then the workbook shows no result.",IF(Status="incomplete","Some answers are unknown. That is fine: the result names exactly what is missing instead of guessing."&amp;IF(ShortfallKnown," What is already clear: y"&amp;Txt_ShortfallTail&amp;" The safety floor is not met while that is so, whatever the missing answers turn out to be.",""),IF(Status="floor_not_met",IF(AND(RoomPart="not_met",CashPart="met"),Txt_Shortfall&amp;" Your emergency cash covers at least one month, but savings alone do not meet the safety floor while you spend more than you take home: the gap is paid from savings every month.",IF(RoomPart="not_met",Txt_Shortfall&amp;" Your emergency cash of "&amp;TEXT(EmergencyCash,"$#,##0")&amp;" is also less than one month of essential costs and minimum debt payments ("&amp;TEXT(FloorValue,"$#,##0")&amp;").","Your emergency cash of "&amp;TEXT(EmergencyCash,"$#,##0")&amp;" is less than one month of essential costs and minimum debt payments ("&amp;TEXT(FloorValue,"$#,##0")&amp;")."&amp;IF(RoomPart="unknown"," Your monthly room is not known yet, because flexible spending is blank.",""))),IF(RoomPart="unknown",Txt_CashText&amp;" "&amp;Txt_RoomUnknown,IF(MonthlyRoom=0,Txt_CashText&amp;" Your monthly room is $0: everything you take home is already spent"&amp;IF(Status="target_met","",", so the buffer cannot grow from income")&amp;".",Txt_CashText&amp;" You spend less than you take home.")))))</f>
      </c>
      <c r="K52" s="9" t="inlineStr">
        <is>
          <t xml:space="preserve">explain: summary</t>
        </is>
      </c>
    </row>
    <row r="53">
      <c r="A53" t="inlineStr">
        <is>
          <t xml:space="preserve">Txt_NextStep</t>
        </is>
      </c>
      <c r="B53" s="3" t="str">
        <f>IF(Status="invalid","",IF(Status="incomplete",IF(ShortfallKnown,"Fill in the missing answers listed below. Closing the monthly shortfall of "&amp;Txt_Gap&amp;" comes first either way.","Fill in the missing answers listed below to finish the check."),IF(Status="floor_not_met",IF(AND(RoomPart="not_met",CashPart="met"),"Next step: close the monthly shortfall of "&amp;Txt_Gap&amp;" (spend less or bring in more). Your cash already covers the one-month minimum, so a bigger buffer is not the first priority.",IF(RoomPart="not_met","Next step: focus on essentials and close the monthly shortfall of "&amp;Txt_Gap&amp;" first. A buffer cannot grow while you spend more than you take home.","Next step: build emergency cash up to one month of essential costs and minimum debt payments ("&amp;TEXT(FloorValue,"$#,##0")&amp;")."&amp;IF(RoomPart="unknown"," Also enter your flexible spending (or 0), so the planner can check your monthly room.",""))),IF(RoomPart="unknown","Next step: enter your flexible spending (or 0) to finish the check.",""))))</f>
      </c>
      <c r="K53" s="9" t="inlineStr">
        <is>
          <t xml:space="preserve">explain: nextStep (empty = null)</t>
        </is>
      </c>
    </row>
    <row r="54">
      <c r="A54" t="inlineStr">
        <is>
          <t xml:space="preserve">Txt_InvestingNote</t>
        </is>
      </c>
      <c r="B54" s="3" t="str">
        <f>IF(Status="invalid","",IF(Status="incomplete","Until then, no money for optional investing or extra purchases, including any Bitcoin plan, has been shown, whatever any market read says.",IF(Status="floor_not_met","",IF(RoomPart="unknown","Until then, no money for optional investing or extra purchases, including any Bitcoin plan, has been shown, whatever any market read says.",IF(MonthlyRoom=0,"That includes any Bitcoin plan, whatever any market read says.",IF(Status="target_met","","This holds whatever any market read says."))))))</f>
      </c>
      <c r="K54" s="9" t="inlineStr">
        <is>
          <t xml:space="preserve">explain: investingNote (empty = null)</t>
        </is>
      </c>
    </row>
    <row r="55">
      <c r="A55" t="inlineStr">
        <is>
          <t xml:space="preserve">Txt_Investing</t>
        </is>
      </c>
      <c r="B55" s="3" t="str">
        <f>IF(Status="invalid","",InvestText&amp;IF(Txt_InvestingNote="",""," "&amp;Txt_InvestingNote))</f>
      </c>
      <c r="K55" s="9" t="inlineStr">
        <is>
          <t xml:space="preserve">render: optional investing text + investingNote</t>
        </is>
      </c>
    </row>
    <row r="56">
      <c r="A56" t="inlineStr">
        <is>
          <t xml:space="preserve">Txt_RoomLine</t>
        </is>
      </c>
      <c r="B56" s="3" t="str">
        <f>"Monthly room = take-home income − essential costs − minimum debt payments − flexible spending = "&amp;IF(RoomKnown,TEXT(MonthlyRoom,"$#,##0")&amp;IF(MonthlyRoom&lt;0," (a monthly shortfall)",""),IF(RBFKnown,"unknown, because flexible spending is blank ("&amp;IF(RoomBeforeFlexible&lt;0,"already a shortfall of "&amp;TEXT(-RoomBeforeFlexible,"$#,##0"),TEXT(RoomBeforeFlexible,"$#,##0"))&amp;" before flexible spending)","unknown"))</f>
      </c>
      <c r="K56" s="9" t="inlineStr">
        <is>
          <t xml:space="preserve">explain: roomLine</t>
        </is>
      </c>
    </row>
    <row r="57">
      <c r="A57" t="inlineStr">
        <is>
          <t xml:space="preserve">Txt_MonthsToTarget</t>
        </is>
      </c>
      <c r="B57" s="3" t="str">
        <f>IF(ISNUMBER(MonthsToTarget),"At your current monthly room, about "&amp;MonthsToTarget&amp;" month"&amp;IF(MonthsToTarget=1,"","s")&amp;" to reach a "&amp;TargetMonths&amp;"-month buffer ("&amp;TEXT(TargetValue,"$#,##0")&amp;"), if all room is saved. (Illustration: no interest, no changes in spending.)","")</f>
      </c>
      <c r="K57" s="9" t="inlineStr">
        <is>
          <t xml:space="preserve">render: monthsToTarget sentence</t>
        </is>
      </c>
    </row>
    <row r="58">
      <c r="A58" t="inlineStr">
        <is>
          <t xml:space="preserve">Txt_EarmarkWarning</t>
        </is>
      </c>
      <c r="B58" s="3" t="str">
        <f>IF(Status="invalid","",IF(CashKnown,IF(EarmarkShortfall&gt;0,"Earmarked money is larger than your cash, so known bills are not fully covered.",""),""))</f>
      </c>
      <c r="K58" s="9" t="inlineStr">
        <is>
          <t xml:space="preserve">render: earmark warning</t>
        </is>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sheetViews>
  <sheetFormatPr defaultRowHeight="15"/>
  <cols>
    <col min="1" max="1" width="34" customWidth="1"/>
    <col min="2" max="2" width="110" customWidth="1"/>
  </cols>
  <sheetData>
    <row r="1">
      <c r="A1" s="1" t="inlineStr">
        <is>
          <t xml:space="preserve">Guidance</t>
        </is>
      </c>
    </row>
    <row r="2">
      <c r="A2" s="9" t="inlineStr">
        <is>
          <t xml:space="preserve">Wording comes from the accepted Household Planner's explain() and calc(). Planning aid, not advice.</t>
        </is>
      </c>
    </row>
    <row r="4">
      <c r="A4" s="2" t="inlineStr">
        <is>
          <t xml:space="preserve">Result</t>
        </is>
      </c>
      <c r="B4" s="10" t="str">
        <f>Txt_Title</f>
      </c>
    </row>
    <row r="5">
      <c r="A5" s="2" t="inlineStr">
        <is>
          <t xml:space="preserve">Summary</t>
        </is>
      </c>
      <c r="B5" s="3" t="str">
        <f>Txt_Summary</f>
      </c>
    </row>
    <row r="6">
      <c r="A6" s="2" t="inlineStr">
        <is>
          <t xml:space="preserve">Next step</t>
        </is>
      </c>
      <c r="B6" s="3" t="str">
        <f>Txt_NextStep</f>
      </c>
    </row>
    <row r="8">
      <c r="A8" s="8" t="inlineStr">
        <is>
          <t xml:space="preserve">Safety floor check (both parts must be met)</t>
        </is>
      </c>
      <c r="B8" s="8" t="inlineStr">
        <is>
          <t xml:space="preserve"/>
        </is>
      </c>
    </row>
    <row r="9">
      <c r="A9" s="2" t="inlineStr">
        <is>
          <t xml:space="preserve">Cash part</t>
        </is>
      </c>
      <c r="B9" s="3" t="str">
        <f>Txt_CashLine</f>
      </c>
    </row>
    <row r="10">
      <c r="A10" s="2" t="inlineStr">
        <is>
          <t xml:space="preserve">Monthly room part</t>
        </is>
      </c>
      <c r="B10" s="3" t="str">
        <f>Txt_RoomLineCheck</f>
      </c>
    </row>
    <row r="12">
      <c r="A12" s="8" t="inlineStr">
        <is>
          <t xml:space="preserve">Figures</t>
        </is>
      </c>
      <c r="B12" s="8" t="inlineStr">
        <is>
          <t xml:space="preserve"/>
        </is>
      </c>
    </row>
    <row r="13">
      <c r="A13" s="2" t="inlineStr">
        <is>
          <t xml:space="preserve">Months of buffer</t>
        </is>
      </c>
      <c r="B13" s="3" t="str">
        <f>IF(Status="invalid","",IF(BufferKnown,TEXT(BufferMonths,"0.0"),"—"))</f>
      </c>
    </row>
    <row r="14">
      <c r="A14" s="2" t="inlineStr">
        <is>
          <t xml:space="preserve">Months of buffer note</t>
        </is>
      </c>
      <c r="B14" s="3" t="str">
        <f>IF(Status="invalid","",BufferNote)</f>
      </c>
    </row>
    <row r="15">
      <c r="A15" s="2" t="inlineStr">
        <is>
          <t xml:space="preserve">Monthly room</t>
        </is>
      </c>
      <c r="B15" s="3" t="str">
        <f>IF(Status="invalid","",IF(RoomKnown,TEXT(MonthlyRoom,"$#,##0"),"—"))</f>
      </c>
    </row>
    <row r="16">
      <c r="A16" s="2" t="inlineStr">
        <is>
          <t xml:space="preserve">Before flexible spending</t>
        </is>
      </c>
      <c r="B16" s="3" t="str">
        <f>IF(Status="invalid","",IF(FlexBlank,TEXT(RoomBeforeFlexible,"$#,##0"),""))</f>
      </c>
    </row>
    <row r="17">
      <c r="A17" s="2" t="inlineStr">
        <is>
          <t xml:space="preserve">Safety floor (one month of need)</t>
        </is>
      </c>
      <c r="B17" s="3" t="str">
        <f>IF(Status="invalid","",IF(NeedKnown,TEXT(FloorValue,"$#,##0"),"—"))</f>
      </c>
    </row>
    <row r="18">
      <c r="A18" s="2" t="inlineStr">
        <is>
          <t xml:space="preserve">Buffer target</t>
        </is>
      </c>
      <c r="B18" s="3" t="str">
        <f>IF(Status="invalid","",IF(ISNUMBER(TargetValue),TargetMonths&amp;" months: "&amp;TEXT(TargetValue,"$#,##0"),"—"))</f>
      </c>
    </row>
    <row r="19">
      <c r="A19" s="2" t="inlineStr">
        <is>
          <t xml:space="preserve">Optional investing</t>
        </is>
      </c>
      <c r="B19" s="3" t="str">
        <f>Txt_Investing</f>
      </c>
    </row>
    <row r="20">
      <c r="A20" s="2" t="inlineStr">
        <is>
          <t xml:space="preserve">Time to target</t>
        </is>
      </c>
      <c r="B20" s="3" t="str">
        <f>IF(Status="invalid","",Txt_MonthsToTarget)</f>
      </c>
    </row>
    <row r="21">
      <c r="A21" s="2" t="inlineStr">
        <is>
          <t xml:space="preserve">Earmarks</t>
        </is>
      </c>
      <c r="B21" s="3" t="str">
        <f>Txt_EarmarkWarning</f>
      </c>
    </row>
    <row r="23">
      <c r="A23" s="8" t="inlineStr">
        <is>
          <t xml:space="preserve">Budget summary (monthly)</t>
        </is>
      </c>
      <c r="B23" s="8" t="inlineStr">
        <is>
          <t xml:space="preserve"/>
        </is>
      </c>
    </row>
    <row r="24">
      <c r="A24" s="2" t="inlineStr">
        <is>
          <t xml:space="preserve">Take-home income</t>
        </is>
      </c>
      <c r="B24" s="3" t="str">
        <f>IF(Income_State="known",TEXT(Income_Total,"$#,##0"),IF(Income_State="invalid","not valid","unknown"))</f>
      </c>
    </row>
    <row r="25">
      <c r="A25" s="2" t="inlineStr">
        <is>
          <t xml:space="preserve">Essential costs</t>
        </is>
      </c>
      <c r="B25" s="3" t="str">
        <f>IF(Essentials_State="known",TEXT(Essentials_Total,"$#,##0"),IF(Essentials_State="invalid","not valid","unknown"))</f>
      </c>
    </row>
    <row r="26">
      <c r="A26" s="2" t="inlineStr">
        <is>
          <t xml:space="preserve">Minimum debt payments</t>
        </is>
      </c>
      <c r="B26" s="3" t="str">
        <f>IF(DebtMin_State="known",TEXT(DebtMin_Total,"$#,##0"),IF(DebtMin_State="invalid","not valid","unknown"))</f>
      </c>
    </row>
    <row r="27">
      <c r="A27" s="2" t="inlineStr">
        <is>
          <t xml:space="preserve">Flexible spending</t>
        </is>
      </c>
      <c r="B27" s="3" t="str">
        <f>IF(Flexible_State="known",TEXT(Flexible_Total,"$#,##0"),IF(Flexible_State="invalid","not valid","unknown"))</f>
      </c>
    </row>
    <row r="28">
      <c r="A28" s="2" t="inlineStr">
        <is>
          <t xml:space="preserve">Accessible cash</t>
        </is>
      </c>
      <c r="B28" s="3" t="str">
        <f>IF(Cash_State="known",TEXT(Cash_Total,"$#,##0"),IF(Cash_State="invalid","not valid","unknown"))</f>
      </c>
    </row>
    <row r="29">
      <c r="A29" s="2" t="inlineStr">
        <is>
          <t xml:space="preserve">Money already earmarked</t>
        </is>
      </c>
      <c r="B29" s="3" t="str">
        <f>IF(Earmarked_State="known",TEXT(Earmarked_Total,"$#,##0"),IF(Earmarked_State="invalid","not valid","unknown"))</f>
      </c>
    </row>
    <row r="30">
      <c r="A30" s="2" t="inlineStr">
        <is>
          <t xml:space="preserve">Monthly need</t>
        </is>
      </c>
      <c r="B30" s="3" t="str">
        <f>IF(Status="invalid","",IF(NeedKnown,TEXT(MonthlyNeed,"$#,##0"),"unknown"))</f>
      </c>
    </row>
    <row r="31">
      <c r="A31" s="2" t="inlineStr">
        <is>
          <t xml:space="preserve">Emergency cash</t>
        </is>
      </c>
      <c r="B31" s="3" t="str">
        <f>IF(Status="invalid","",IF(CashKnown,TEXT(EmergencyCash,"$#,##0"),"unknown"))</f>
      </c>
    </row>
    <row r="32">
      <c r="A32" s="2" t="inlineStr">
        <is>
          <t xml:space="preserve">Monthly surplus or shortfall</t>
        </is>
      </c>
      <c r="B32" s="3" t="str">
        <f>IF(Status="invalid","",Txt_RoomLine)</f>
      </c>
    </row>
    <row r="34">
      <c r="A34" s="8" t="inlineStr">
        <is>
          <t xml:space="preserve">Missing or not valid</t>
        </is>
      </c>
      <c r="B34" s="8" t="inlineStr">
        <is>
          <t xml:space="preserve"/>
        </is>
      </c>
    </row>
    <row r="35">
      <c r="A35" s="2" t="inlineStr">
        <is>
          <t xml:space="preserve">monthly take-home income</t>
        </is>
      </c>
      <c r="B35" s="3" t="str">
        <f>IF(Income_State="unknown","missing: "&amp;Income_Blank&amp;" blank line(s) in group '1. Monthly take-home income' (enter 0 for lines that do not apply)",IF(Income_State="invalid","not valid in group '1. Monthly take-home income': "&amp;IF(Income_NonNumeric&gt;0,"Enter a number, or leave blank if unknown.","")&amp;IF(AND(Income_NonNumeric&gt;0,Income_Negative&gt;0)," ","")&amp;IF(Income_Negative&gt;0,"Enter zero or a positive amount.",""),""))</f>
      </c>
    </row>
    <row r="36">
      <c r="A36" s="2" t="inlineStr">
        <is>
          <t xml:space="preserve">monthly essential costs</t>
        </is>
      </c>
      <c r="B36" s="3" t="str">
        <f>IF(Essentials_State="unknown","missing: "&amp;Essentials_Blank&amp;" blank line(s) in group '2. Monthly essential costs' (enter 0 for lines that do not apply)",IF(Essentials_State="invalid","not valid in group '2. Monthly essential costs': "&amp;IF(Essentials_NonNumeric&gt;0,"Enter a number, or leave blank if unknown.","")&amp;IF(AND(Essentials_NonNumeric&gt;0,Essentials_Negative&gt;0)," ","")&amp;IF(Essentials_Negative&gt;0,"Enter zero or a positive amount.",""),""))</f>
      </c>
    </row>
    <row r="37">
      <c r="A37" s="2" t="inlineStr">
        <is>
          <t xml:space="preserve">minimum debt payments</t>
        </is>
      </c>
      <c r="B37" s="3" t="str">
        <f>IF(DebtMin_State="unknown","missing: "&amp;DebtMin_Blank&amp;" blank line(s) in group '3. Minimum debt payments (monthly)' (enter 0 for lines that do not apply)",IF(DebtMin_State="invalid","not valid in group '3. Minimum debt payments (monthly)': "&amp;IF(DebtMin_NonNumeric&gt;0,"Enter a number, or leave blank if unknown.","")&amp;IF(AND(DebtMin_NonNumeric&gt;0,DebtMin_Negative&gt;0)," ","")&amp;IF(DebtMin_Negative&gt;0,"Enter zero or a positive amount.",""),""))</f>
      </c>
    </row>
    <row r="38">
      <c r="A38" s="2" t="inlineStr">
        <is>
          <t xml:space="preserve">flexible spending (or 0)</t>
        </is>
      </c>
      <c r="B38" s="3" t="str">
        <f>IF(Flexible_State="unknown","missing: "&amp;Flexible_Blank&amp;" blank line(s) in group '4. Flexible spending (monthly)' (enter 0 for lines that do not apply)",IF(Flexible_State="invalid","not valid in group '4. Flexible spending (monthly)': "&amp;IF(Flexible_NonNumeric&gt;0,"Enter a number, or leave blank if unknown.","")&amp;IF(AND(Flexible_NonNumeric&gt;0,Flexible_Negative&gt;0)," ","")&amp;IF(Flexible_Negative&gt;0,"Enter zero or a positive amount.",""),""))</f>
      </c>
    </row>
    <row r="39">
      <c r="A39" s="2" t="inlineStr">
        <is>
          <t xml:space="preserve">accessible cash</t>
        </is>
      </c>
      <c r="B39" s="3" t="str">
        <f>IF(Cash_State="unknown","missing: "&amp;Cash_Blank&amp;" blank line(s) in group '5. Accessible cash (today)' (enter 0 for lines that do not apply)",IF(Cash_State="invalid","not valid in group '5. Accessible cash (today)': "&amp;IF(Cash_NonNumeric&gt;0,"Enter a number, or leave blank if unknown.","")&amp;IF(AND(Cash_NonNumeric&gt;0,Cash_Negative&gt;0)," ","")&amp;IF(Cash_Negative&gt;0,"Enter zero or a positive amount.",""),""))</f>
      </c>
    </row>
    <row r="40">
      <c r="A40" s="2" t="inlineStr">
        <is>
          <t xml:space="preserve">money already earmarked</t>
        </is>
      </c>
      <c r="B40" s="3" t="str">
        <f>IF(Earmarked_State="unknown","missing: "&amp;Earmarked_Blank&amp;" blank line(s) in group '6. Money already earmarked (today)' (enter 0 for lines that do not apply)",IF(Earmarked_State="invalid","not valid in group '6. Money already earmarked (today)': "&amp;IF(Earmarked_NonNumeric&gt;0,"Enter a number, or leave blank if unknown.","")&amp;IF(AND(Earmarked_NonNumeric&gt;0,Earmarked_Negative&gt;0)," ","")&amp;IF(Earmarked_Negative&gt;0,"Enter zero or a positive amount.",""),""))</f>
      </c>
    </row>
    <row r="41">
      <c r="A41" s="2" t="inlineStr">
        <is>
          <t xml:space="preserve">buffer target</t>
        </is>
      </c>
      <c r="B41" s="3" t="str">
        <f>IF(TM_Valid,"","not valid: Choose 1, 3 or 6 months.")</f>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workbookViewId="0"/>
  </sheetViews>
  <sheetFormatPr defaultRowHeight="15"/>
  <cols>
    <col min="1" max="1" width="26" customWidth="1"/>
    <col min="2" max="2" width="100" customWidth="1"/>
  </cols>
  <sheetData>
    <row r="1">
      <c r="A1" s="1" t="inlineStr">
        <is>
          <t xml:space="preserve">Definitions</t>
        </is>
      </c>
    </row>
    <row r="2">
      <c r="A2" s="2" t="inlineStr">
        <is>
          <t xml:space="preserve">Assumption bundle</t>
        </is>
      </c>
      <c r="B2" t="inlineStr">
        <is>
          <t xml:space="preserve">household-assumptions/0.1-prototype</t>
        </is>
      </c>
    </row>
    <row r="3">
      <c r="A3" s="2" t="inlineStr">
        <is>
          <t xml:space="preserve">Source</t>
        </is>
      </c>
      <c r="B3" s="3" t="inlineStr">
        <is>
          <t xml:space="preserve">planner.js sha256 a43506b5755cd94aea24c63f90999b1987351996eb86741aeb0f8ad542ff9ba0 (assumptions quoted verbatim)</t>
        </is>
      </c>
    </row>
    <row r="5">
      <c r="A5" s="8" t="inlineStr">
        <is>
          <t xml:space="preserve">Assumption</t>
        </is>
      </c>
      <c r="B5" s="8" t="inlineStr">
        <is>
          <t xml:space="preserve">Text (verbatim)</t>
        </is>
      </c>
    </row>
    <row r="6">
      <c r="A6" s="2" t="inlineStr">
        <is>
          <t xml:space="preserve">A1</t>
        </is>
      </c>
      <c r="B6" s="3" t="inlineStr">
        <is>
          <t xml:space="preserve">Safety floor = both (1) emergency cash (accessible cash minus earmarked money) of at least one month of essential costs plus minimum debt payments, and (2) monthly room (take-home income minus essential costs, minimum debt payments and flexible spending) of zero or more.</t>
        </is>
      </c>
    </row>
    <row r="7">
      <c r="A7" s="9" t="inlineStr">
        <is>
          <t xml:space="preserve">A1 kind</t>
        </is>
      </c>
      <c r="B7" s="9" t="inlineStr">
        <is>
          <t xml:space="preserve">product assumption (an editorial choice, not an evidence-derived optimum)</t>
        </is>
      </c>
    </row>
    <row r="8">
      <c r="A8" s="2" t="inlineStr">
        <is>
          <t xml:space="preserve">A2</t>
        </is>
      </c>
      <c r="B8" s="3" t="inlineStr">
        <is>
          <t xml:space="preserve">Buffer target is chosen by the household (1, 3 or 6 months). The default of 3 months is a common planning convention.</t>
        </is>
      </c>
    </row>
    <row r="9">
      <c r="A9" s="9" t="inlineStr">
        <is>
          <t xml:space="preserve">A2 kind</t>
        </is>
      </c>
      <c r="B9" s="9" t="inlineStr">
        <is>
          <t xml:space="preserve">household choice with a product default</t>
        </is>
      </c>
    </row>
    <row r="10">
      <c r="A10" s="2" t="inlineStr">
        <is>
          <t xml:space="preserve">A3</t>
        </is>
      </c>
      <c r="B10" s="3" t="inlineStr">
        <is>
          <t xml:space="preserve">Money already earmarked (taxes, known bills, near-term purchases) is not emergency cash.</t>
        </is>
      </c>
    </row>
    <row r="11">
      <c r="A11" s="9" t="inlineStr">
        <is>
          <t xml:space="preserve">A3 kind</t>
        </is>
      </c>
      <c r="B11" s="9" t="inlineStr">
        <is>
          <t xml:space="preserve">definition</t>
        </is>
      </c>
    </row>
    <row r="13">
      <c r="A13" s="8" t="inlineStr">
        <is>
          <t xml:space="preserve">Term</t>
        </is>
      </c>
      <c r="B13" s="8" t="inlineStr">
        <is>
          <t xml:space="preserve">Definition (as in the planner)</t>
        </is>
      </c>
    </row>
    <row r="14">
      <c r="A14" s="2" t="inlineStr">
        <is>
          <t xml:space="preserve">Blank</t>
        </is>
      </c>
      <c r="B14" s="3" t="inlineStr">
        <is>
          <t xml:space="preserve">Blank answers are treated as unknown, never as zero.</t>
        </is>
      </c>
    </row>
    <row r="15">
      <c r="A15" s="2" t="inlineStr">
        <is>
          <t xml:space="preserve">Monthly need</t>
        </is>
      </c>
      <c r="B15" s="3" t="inlineStr">
        <is>
          <t xml:space="preserve">Monthly need = essential costs + minimum debt payments</t>
        </is>
      </c>
    </row>
    <row r="16">
      <c r="A16" s="2" t="inlineStr">
        <is>
          <t xml:space="preserve">Emergency cash</t>
        </is>
      </c>
      <c r="B16" s="3" t="inlineStr">
        <is>
          <t xml:space="preserve">Emergency cash = accessible cash − earmarked money (assumption A3)</t>
        </is>
      </c>
    </row>
    <row r="17">
      <c r="A17" s="2" t="inlineStr">
        <is>
          <t xml:space="preserve">Months of buffer</t>
        </is>
      </c>
      <c r="B17" s="3" t="inlineStr">
        <is>
          <t xml:space="preserve">Months of buffer = emergency cash ÷ monthly need</t>
        </is>
      </c>
    </row>
    <row r="18">
      <c r="A18" s="2" t="inlineStr">
        <is>
          <t xml:space="preserve">Monthly room</t>
        </is>
      </c>
      <c r="B18" s="3" t="inlineStr">
        <is>
          <t xml:space="preserve">Monthly room = take-home income − essential costs − minimum debt payments − flexible spending</t>
        </is>
      </c>
    </row>
    <row r="19">
      <c r="A19" s="2" t="inlineStr">
        <is>
          <t xml:space="preserve">Safety floor</t>
        </is>
      </c>
      <c r="B19" s="3" t="inlineStr">
        <is>
          <t xml:space="preserve">Safety floor (assumption A1) = both parts: emergency cash of at least one month of need, and monthly room of $0 or more. Savings alone do not meet the floor while you spend more than you take home.</t>
        </is>
      </c>
    </row>
    <row r="20">
      <c r="A20" s="2" t="inlineStr">
        <is>
          <t xml:space="preserve">Buffer target</t>
        </is>
      </c>
      <c r="B20" s="3" t="inlineStr">
        <is>
          <t xml:space="preserve">Buffer target = monthly need × the months you choose (1, 3 or 6; default 3). See assumption A2.</t>
        </is>
      </c>
    </row>
    <row r="21">
      <c r="A21" s="2" t="inlineStr">
        <is>
          <t xml:space="preserve">Borrowing</t>
        </is>
      </c>
      <c r="B21" s="3" t="inlineStr">
        <is>
          <t xml:space="preserve">Borrowing is not counted as buffer.</t>
        </is>
      </c>
    </row>
    <row r="22">
      <c r="A22" s="2" t="inlineStr">
        <is>
          <t xml:space="preserve">Time to target</t>
        </is>
      </c>
      <c r="B22" s="3" t="inlineStr">
        <is>
          <t xml:space="preserve">Months to reach the buffer target if all monthly room is saved, rounded up. Illustration: no interest, no changes in spending.</t>
        </is>
      </c>
    </row>
    <row r="23">
      <c r="A23" s="2" t="inlineStr">
        <is>
          <t xml:space="preserve">Status: Not enough information yet</t>
        </is>
      </c>
      <c r="B23" s="3" t="inlineStr">
        <is>
          <t xml:space="preserve">Some answers are unknown. The workbook names what is missing instead of guessing.</t>
        </is>
      </c>
    </row>
    <row r="24">
      <c r="A24" s="2" t="inlineStr">
        <is>
          <t xml:space="preserve">Status: Safety floor not yet met</t>
        </is>
      </c>
      <c r="B24" s="3" t="inlineStr">
        <is>
          <t xml:space="preserve">Emergency cash is less than one month of need, or you spend more than you take home.</t>
        </is>
      </c>
    </row>
    <row r="25">
      <c r="A25" s="2" t="inlineStr">
        <is>
          <t xml:space="preserve">Group total</t>
        </is>
      </c>
      <c r="B25" s="3" t="inlineStr">
        <is>
          <t xml:space="preserve">The sum of a group's lines. Known only when every line has a number (enter 0 for lines that do not apply).</t>
        </is>
      </c>
    </row>
    <row r="26">
      <c r="A26" s="2" t="inlineStr">
        <is>
          <t xml:space="preserve">Not valid</t>
        </is>
      </c>
      <c r="B26" s="3" t="inlineStr">
        <is>
          <t xml:space="preserve">Text or a negative amount in an amount cell. While any entry is not valid, no result is shown.</t>
        </is>
      </c>
    </row>
  </sheetData>
  <sheetProtection sheet="1" objects="1" scenarios="1"/>
  <pageMargins left="0.7" right="0.7" top="0.75" bottom="0.75" header="0.3" footer="0.3"/>
</worksheet>
</file>

<file path=docProps/app.xml><?xml version="1.0" encoding="utf-8"?>
<Properties xmlns="http://schemas.openxmlformats.org/officeDocument/2006/extended-properties">
  <Application>build_workbook.py</Application>
  <DocSecurity>0</DocSecurity>
</Properties>
</file>

<file path=docProps/core.xml><?xml version="1.0" encoding="utf-8"?>
<cp:coreProperties xmlns:cp="http://schemas.openxmlformats.org/package/2006/metadata/core-properties" xmlns:dc="http://purl.org/dc/elements/1.1/" xmlns:dcterms="http://purl.org/dc/terms/" xmlns:xsi="http://www.w3.org/2001/XMLSchema-instance">
  <dc:title>Household budget workbook</dc:title>
  <dc:description>Household budgeting workbook aligned with planner.js sha256 a43506b5755cd94aea24c63f90999b1987351996eb86741aeb0f8ad542ff9ba0; assumptions household-assumptions/0.1-prototype.</dc:description>
  <dcterms:created xsi:type="dcterms:W3CDTF">2026-10-09T00:00:00Z</dcterms:created>
</cp:coreProperties>
</file>